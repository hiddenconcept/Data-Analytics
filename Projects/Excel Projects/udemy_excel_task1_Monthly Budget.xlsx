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tch\Desktop\"/>
    </mc:Choice>
  </mc:AlternateContent>
  <xr:revisionPtr revIDLastSave="0" documentId="13_ncr:1_{5AE52188-8D56-4172-BE6B-99562BBD6DE5}" xr6:coauthVersionLast="47" xr6:coauthVersionMax="47" xr10:uidLastSave="{00000000-0000-0000-0000-000000000000}"/>
  <bookViews>
    <workbookView xWindow="19824" yWindow="2748" windowWidth="26112" windowHeight="19404" xr2:uid="{88BFC49E-4DA1-4704-9EDB-9E274B4A6C7B}"/>
  </bookViews>
  <sheets>
    <sheet name="Monthly Budget" sheetId="1" r:id="rId1"/>
    <sheet name="Food vs Candy (2)" sheetId="4" r:id="rId2"/>
    <sheet name="Sheet1" sheetId="3" r:id="rId3"/>
  </sheets>
  <definedNames>
    <definedName name="_xlnm.Print_Area" localSheetId="0">'Monthly Budget'!$A$6:$E$12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7" i="1"/>
  <c r="C12" i="1"/>
  <c r="D12" i="1"/>
  <c r="B12" i="1"/>
  <c r="C20" i="1"/>
  <c r="D20" i="1"/>
  <c r="B20" i="1"/>
  <c r="C19" i="1"/>
  <c r="D19" i="1"/>
  <c r="B19" i="1"/>
  <c r="C18" i="1"/>
  <c r="D18" i="1"/>
  <c r="B18" i="1"/>
  <c r="C17" i="1"/>
  <c r="D17" i="1"/>
  <c r="B17" i="1"/>
  <c r="E12" i="1" l="1"/>
  <c r="G8" i="1" s="1"/>
  <c r="E20" i="1"/>
  <c r="E17" i="1"/>
  <c r="E18" i="1"/>
  <c r="E19" i="1"/>
  <c r="G9" i="1" l="1"/>
  <c r="G12" i="1"/>
  <c r="G10" i="1"/>
  <c r="G11" i="1"/>
  <c r="G7" i="1"/>
</calcChain>
</file>

<file path=xl/sharedStrings.xml><?xml version="1.0" encoding="utf-8"?>
<sst xmlns="http://schemas.openxmlformats.org/spreadsheetml/2006/main" count="14" uniqueCount="14">
  <si>
    <t>Rent</t>
  </si>
  <si>
    <t>Phone</t>
  </si>
  <si>
    <t>Credit Cards</t>
  </si>
  <si>
    <t>Food</t>
  </si>
  <si>
    <t>Candy</t>
  </si>
  <si>
    <t>Total:</t>
  </si>
  <si>
    <t>Total</t>
  </si>
  <si>
    <t>MIN</t>
  </si>
  <si>
    <t>MAX</t>
  </si>
  <si>
    <t>AVERAGE</t>
  </si>
  <si>
    <t>COUNT</t>
  </si>
  <si>
    <t xml:space="preserve">Percent </t>
  </si>
  <si>
    <t>Bills</t>
  </si>
  <si>
    <t>2016 Monthly Budget: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</si>
</sst>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mmm/yyyy"/>
    <numFmt numFmtId="167" formatCode="0.0%"/>
  </numFmts>
  <fonts count="8" x14ac:knownFonts="1">
    <font>
      <sz val="11"/>
      <color theme="1"/>
      <name val="Times New Roman"/>
      <family val="2"/>
      <scheme val="minor"/>
    </font>
    <font>
      <sz val="11"/>
      <color theme="1"/>
      <name val="Times New Roman"/>
      <family val="2"/>
      <scheme val="minor"/>
    </font>
    <font>
      <sz val="14"/>
      <color theme="1"/>
      <name val="Times New Roman"/>
      <family val="2"/>
      <scheme val="minor"/>
    </font>
    <font>
      <b/>
      <sz val="14"/>
      <color theme="1"/>
      <name val="Times New Roman"/>
      <family val="2"/>
      <scheme val="minor"/>
    </font>
    <font>
      <b/>
      <sz val="48"/>
      <color rgb="FFBA0000"/>
      <name val="Algerian"/>
      <family val="5"/>
    </font>
    <font>
      <b/>
      <sz val="14"/>
      <color theme="1"/>
      <name val="Bahnschrift SemiBold SemiConden"/>
      <family val="2"/>
    </font>
    <font>
      <b/>
      <sz val="20"/>
      <color theme="1"/>
      <name val="Times New Roman"/>
      <family val="2"/>
      <scheme val="minor"/>
    </font>
    <font>
      <sz val="8"/>
      <name val="Times New Roman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theme="3" tint="-0.249977111117893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theme="3" tint="-0.249977111117893"/>
      </top>
      <bottom style="medium">
        <color indexed="64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medium">
        <color theme="3" tint="-0.249977111117893"/>
      </left>
      <right style="medium">
        <color theme="3" tint="-0.249977111117893"/>
      </right>
      <top style="medium">
        <color indexed="64"/>
      </top>
      <bottom style="medium">
        <color theme="3" tint="-0.249977111117893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3" tint="-0.249977111117893"/>
      </top>
      <bottom style="thin">
        <color theme="1"/>
      </bottom>
      <diagonal/>
    </border>
    <border>
      <left/>
      <right style="thin">
        <color theme="1"/>
      </right>
      <top style="medium">
        <color theme="3" tint="-0.249977111117893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5" borderId="4" applyNumberFormat="0">
      <alignment wrapText="1"/>
    </xf>
    <xf numFmtId="164" fontId="6" fillId="5" borderId="4" applyNumberFormat="0">
      <alignment wrapText="1"/>
    </xf>
  </cellStyleXfs>
  <cellXfs count="22">
    <xf numFmtId="0" fontId="0" fillId="0" borderId="0" xfId="0"/>
    <xf numFmtId="0" fontId="0" fillId="2" borderId="0" xfId="0" applyFill="1"/>
    <xf numFmtId="0" fontId="2" fillId="0" borderId="0" xfId="0" applyFont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44" fontId="2" fillId="0" borderId="0" xfId="2" applyFont="1"/>
    <xf numFmtId="44" fontId="2" fillId="0" borderId="8" xfId="2" applyFont="1" applyBorder="1"/>
    <xf numFmtId="44" fontId="2" fillId="2" borderId="9" xfId="2" applyFont="1" applyFill="1" applyBorder="1"/>
    <xf numFmtId="44" fontId="2" fillId="2" borderId="10" xfId="2" applyFont="1" applyFill="1" applyBorder="1"/>
    <xf numFmtId="44" fontId="2" fillId="0" borderId="11" xfId="2" applyFont="1" applyBorder="1"/>
    <xf numFmtId="43" fontId="2" fillId="0" borderId="0" xfId="1" applyFont="1"/>
    <xf numFmtId="43" fontId="2" fillId="0" borderId="8" xfId="1" applyFont="1" applyBorder="1"/>
    <xf numFmtId="0" fontId="5" fillId="4" borderId="0" xfId="0" applyFont="1" applyFill="1" applyAlignment="1">
      <alignment horizontal="center" vertical="center"/>
    </xf>
    <xf numFmtId="167" fontId="3" fillId="0" borderId="0" xfId="3" applyNumberFormat="1" applyFont="1"/>
    <xf numFmtId="0" fontId="0" fillId="0" borderId="0" xfId="0" applyAlignment="1"/>
    <xf numFmtId="0" fontId="4" fillId="3" borderId="1" xfId="0" applyFont="1" applyFill="1" applyBorder="1" applyAlignment="1"/>
    <xf numFmtId="0" fontId="4" fillId="3" borderId="2" xfId="0" applyFont="1" applyFill="1" applyBorder="1" applyAlignment="1"/>
    <xf numFmtId="0" fontId="4" fillId="3" borderId="3" xfId="0" applyFont="1" applyFill="1" applyBorder="1" applyAlignment="1"/>
    <xf numFmtId="0" fontId="6" fillId="5" borderId="4" xfId="4" applyNumberFormat="1" applyFont="1" applyAlignment="1">
      <alignment wrapText="1"/>
    </xf>
    <xf numFmtId="164" fontId="6" fillId="5" borderId="4" xfId="4" applyNumberFormat="1" applyFont="1" applyAlignment="1">
      <alignment wrapText="1"/>
    </xf>
    <xf numFmtId="0" fontId="0" fillId="3" borderId="12" xfId="0" applyFill="1" applyBorder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Percent" xfId="3" builtinId="5"/>
    <cellStyle name="Style" xfId="5" xr:uid="{FC4D1CE3-9668-4D3C-BCF4-4342B15D8368}"/>
    <cellStyle name="Style 1" xfId="4" xr:uid="{B582E062-EE0D-4837-8018-C2700F5471BC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'Monthly Budget'!$A$4</c:f>
          <c:strCache>
            <c:ptCount val="1"/>
            <c:pt idx="0">
              <c:v>2016 Monthly Budget: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Budget'!$A$7</c:f>
              <c:strCache>
                <c:ptCount val="1"/>
                <c:pt idx="0">
                  <c:v>Rent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  <c:extLst xmlns:c15="http://schemas.microsoft.com/office/drawing/2012/chart"/>
            </c:numRef>
          </c:cat>
          <c:val>
            <c:numRef>
              <c:f>'Monthly Budget'!$B$7:$D$7</c:f>
              <c:numCache>
                <c:formatCode>_("$"* #,##0.00_);_("$"* \(#,##0.00\);_("$"* "-"??_);_(@_)</c:formatCode>
                <c:ptCount val="3"/>
                <c:pt idx="0">
                  <c:v>1000.55</c:v>
                </c:pt>
                <c:pt idx="1">
                  <c:v>750.56</c:v>
                </c:pt>
                <c:pt idx="2">
                  <c:v>1000.55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0-7FA3-4EF5-A628-C68B6DD25879}"/>
            </c:ext>
          </c:extLst>
        </c:ser>
        <c:ser>
          <c:idx val="1"/>
          <c:order val="1"/>
          <c:tx>
            <c:strRef>
              <c:f>'Monthly Budget'!$A$8</c:f>
              <c:strCache>
                <c:ptCount val="1"/>
                <c:pt idx="0">
                  <c:v>Phone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  <c:extLst xmlns:c15="http://schemas.microsoft.com/office/drawing/2012/chart"/>
            </c:numRef>
          </c:cat>
          <c:val>
            <c:numRef>
              <c:f>'Monthly Budget'!$B$8:$D$8</c:f>
              <c:numCache>
                <c:formatCode>_(* #,##0.00_);_(* \(#,##0.00\);_(* "-"??_);_(@_)</c:formatCode>
                <c:ptCount val="3"/>
                <c:pt idx="0">
                  <c:v>100.25</c:v>
                </c:pt>
                <c:pt idx="1">
                  <c:v>125.56</c:v>
                </c:pt>
                <c:pt idx="2">
                  <c:v>100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7FA3-4EF5-A628-C68B6DD25879}"/>
            </c:ext>
          </c:extLst>
        </c:ser>
        <c:ser>
          <c:idx val="2"/>
          <c:order val="2"/>
          <c:tx>
            <c:strRef>
              <c:f>'Monthly Budget'!$A$9</c:f>
              <c:strCache>
                <c:ptCount val="1"/>
                <c:pt idx="0">
                  <c:v>Credit Cards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  <c:extLst xmlns:c15="http://schemas.microsoft.com/office/drawing/2012/chart"/>
            </c:numRef>
          </c:cat>
          <c:val>
            <c:numRef>
              <c:f>'Monthly Budget'!$B$9:$D$9</c:f>
              <c:numCache>
                <c:formatCode>_(* #,##0.00_);_(* \(#,##0.00\);_(* "-"??_);_(@_)</c:formatCode>
                <c:ptCount val="3"/>
                <c:pt idx="0">
                  <c:v>150</c:v>
                </c:pt>
                <c:pt idx="1">
                  <c:v>200.43</c:v>
                </c:pt>
                <c:pt idx="2">
                  <c:v>175.23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7FA3-4EF5-A628-C68B6DD25879}"/>
            </c:ext>
          </c:extLst>
        </c:ser>
        <c:ser>
          <c:idx val="3"/>
          <c:order val="3"/>
          <c:tx>
            <c:strRef>
              <c:f>'Monthly Budget'!$A$10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</c:numRef>
          </c:cat>
          <c:val>
            <c:numRef>
              <c:f>'Monthly Budget'!$B$10:$D$10</c:f>
              <c:numCache>
                <c:formatCode>_(* #,##0.00_);_(* \(#,##0.00\);_(* "-"??_);_(@_)</c:formatCode>
                <c:ptCount val="3"/>
                <c:pt idx="0">
                  <c:v>300.14999999999998</c:v>
                </c:pt>
                <c:pt idx="1">
                  <c:v>275.43</c:v>
                </c:pt>
                <c:pt idx="2">
                  <c:v>350.11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A3-4EF5-A628-C68B6DD25879}"/>
            </c:ext>
          </c:extLst>
        </c:ser>
        <c:ser>
          <c:idx val="4"/>
          <c:order val="4"/>
          <c:tx>
            <c:strRef>
              <c:f>'Monthly Budget'!$A$11</c:f>
              <c:strCache>
                <c:ptCount val="1"/>
                <c:pt idx="0">
                  <c:v>Candy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</c:numRef>
          </c:cat>
          <c:val>
            <c:numRef>
              <c:f>'Monthly Budget'!$B$11:$D$11</c:f>
              <c:numCache>
                <c:formatCode>_(* #,##0.00_);_(* \(#,##0.00\);_(* "-"??_);_(@_)</c:formatCode>
                <c:ptCount val="3"/>
                <c:pt idx="0">
                  <c:v>100.43</c:v>
                </c:pt>
                <c:pt idx="1">
                  <c:v>100.43</c:v>
                </c:pt>
                <c:pt idx="2">
                  <c:v>125.99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A3-4EF5-A628-C68B6DD25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0029327"/>
        <c:axId val="340024047"/>
        <c:extLst/>
      </c:barChart>
      <c:dateAx>
        <c:axId val="34002932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24047"/>
        <c:crosses val="autoZero"/>
        <c:auto val="1"/>
        <c:lblOffset val="100"/>
        <c:baseTimeUnit val="months"/>
      </c:dateAx>
      <c:valAx>
        <c:axId val="3400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2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'Monthly Budget'!$A$4</c:f>
          <c:strCache>
            <c:ptCount val="1"/>
            <c:pt idx="0">
              <c:v>2016 Monthly Budget: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531602820480776E-2"/>
          <c:y val="5.7828687152267529E-3"/>
          <c:w val="0.94572104268216473"/>
          <c:h val="0.90473884879988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Budget'!$A$7</c:f>
              <c:strCache>
                <c:ptCount val="1"/>
                <c:pt idx="0">
                  <c:v>Rent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  <c:extLst xmlns:c15="http://schemas.microsoft.com/office/drawing/2012/chart"/>
            </c:numRef>
          </c:cat>
          <c:val>
            <c:numRef>
              <c:f>'Monthly Budget'!$B$7:$D$7</c:f>
              <c:numCache>
                <c:formatCode>_("$"* #,##0.00_);_("$"* \(#,##0.00\);_("$"* "-"??_);_(@_)</c:formatCode>
                <c:ptCount val="3"/>
                <c:pt idx="0">
                  <c:v>1000.55</c:v>
                </c:pt>
                <c:pt idx="1">
                  <c:v>750.56</c:v>
                </c:pt>
                <c:pt idx="2">
                  <c:v>1000.55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0-108C-4A8D-BBC3-343CCF7E3820}"/>
            </c:ext>
          </c:extLst>
        </c:ser>
        <c:ser>
          <c:idx val="1"/>
          <c:order val="1"/>
          <c:tx>
            <c:strRef>
              <c:f>'Monthly Budget'!$A$8</c:f>
              <c:strCache>
                <c:ptCount val="1"/>
                <c:pt idx="0">
                  <c:v>Phone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2">
                    <a:tint val="94000"/>
                    <a:satMod val="103000"/>
                    <a:lumMod val="102000"/>
                  </a:schemeClr>
                </a:gs>
                <a:gs pos="50000">
                  <a:schemeClr val="accent2">
                    <a:shade val="100000"/>
                    <a:satMod val="110000"/>
                    <a:lumMod val="100000"/>
                  </a:schemeClr>
                </a:gs>
                <a:gs pos="100000">
                  <a:schemeClr val="accent2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  <c:extLst xmlns:c15="http://schemas.microsoft.com/office/drawing/2012/chart"/>
            </c:numRef>
          </c:cat>
          <c:val>
            <c:numRef>
              <c:f>'Monthly Budget'!$B$8:$D$8</c:f>
              <c:numCache>
                <c:formatCode>_(* #,##0.00_);_(* \(#,##0.00\);_(* "-"??_);_(@_)</c:formatCode>
                <c:ptCount val="3"/>
                <c:pt idx="0">
                  <c:v>100.25</c:v>
                </c:pt>
                <c:pt idx="1">
                  <c:v>125.56</c:v>
                </c:pt>
                <c:pt idx="2">
                  <c:v>100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1-108C-4A8D-BBC3-343CCF7E3820}"/>
            </c:ext>
          </c:extLst>
        </c:ser>
        <c:ser>
          <c:idx val="2"/>
          <c:order val="2"/>
          <c:tx>
            <c:strRef>
              <c:f>'Monthly Budget'!$A$9</c:f>
              <c:strCache>
                <c:ptCount val="1"/>
                <c:pt idx="0">
                  <c:v>Credit Cards</c:v>
                </c:pt>
              </c:strCache>
              <c:extLst xmlns:c15="http://schemas.microsoft.com/office/drawing/2012/chart"/>
            </c:strRef>
          </c:tx>
          <c:spPr>
            <a:gradFill rotWithShape="1">
              <a:gsLst>
                <a:gs pos="0">
                  <a:schemeClr val="accent3">
                    <a:tint val="94000"/>
                    <a:satMod val="103000"/>
                    <a:lumMod val="102000"/>
                  </a:schemeClr>
                </a:gs>
                <a:gs pos="50000">
                  <a:schemeClr val="accent3">
                    <a:shade val="100000"/>
                    <a:satMod val="110000"/>
                    <a:lumMod val="100000"/>
                  </a:schemeClr>
                </a:gs>
                <a:gs pos="100000">
                  <a:schemeClr val="accent3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  <c:extLst xmlns:c15="http://schemas.microsoft.com/office/drawing/2012/chart"/>
            </c:numRef>
          </c:cat>
          <c:val>
            <c:numRef>
              <c:f>'Monthly Budget'!$B$9:$D$9</c:f>
              <c:numCache>
                <c:formatCode>_(* #,##0.00_);_(* \(#,##0.00\);_(* "-"??_);_(@_)</c:formatCode>
                <c:ptCount val="3"/>
                <c:pt idx="0">
                  <c:v>150</c:v>
                </c:pt>
                <c:pt idx="1">
                  <c:v>200.43</c:v>
                </c:pt>
                <c:pt idx="2">
                  <c:v>175.23</c:v>
                </c:pt>
              </c:numCache>
              <c:extLst xmlns:c15="http://schemas.microsoft.com/office/drawing/2012/chart"/>
            </c:numRef>
          </c:val>
          <c:extLst>
            <c:ext xmlns:c16="http://schemas.microsoft.com/office/drawing/2014/chart" uri="{C3380CC4-5D6E-409C-BE32-E72D297353CC}">
              <c16:uniqueId val="{00000002-108C-4A8D-BBC3-343CCF7E3820}"/>
            </c:ext>
          </c:extLst>
        </c:ser>
        <c:ser>
          <c:idx val="3"/>
          <c:order val="3"/>
          <c:tx>
            <c:strRef>
              <c:f>'Monthly Budget'!$A$10</c:f>
              <c:strCache>
                <c:ptCount val="1"/>
                <c:pt idx="0">
                  <c:v>Food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94000"/>
                    <a:satMod val="103000"/>
                    <a:lumMod val="102000"/>
                  </a:schemeClr>
                </a:gs>
                <a:gs pos="50000">
                  <a:schemeClr val="accent4">
                    <a:shade val="100000"/>
                    <a:satMod val="110000"/>
                    <a:lumMod val="100000"/>
                  </a:schemeClr>
                </a:gs>
                <a:gs pos="100000">
                  <a:schemeClr val="accent4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</c:numRef>
          </c:cat>
          <c:val>
            <c:numRef>
              <c:f>'Monthly Budget'!$B$10:$D$10</c:f>
              <c:numCache>
                <c:formatCode>_(* #,##0.00_);_(* \(#,##0.00\);_(* "-"??_);_(@_)</c:formatCode>
                <c:ptCount val="3"/>
                <c:pt idx="0">
                  <c:v>300.14999999999998</c:v>
                </c:pt>
                <c:pt idx="1">
                  <c:v>275.43</c:v>
                </c:pt>
                <c:pt idx="2">
                  <c:v>350.11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8C-4A8D-BBC3-343CCF7E3820}"/>
            </c:ext>
          </c:extLst>
        </c:ser>
        <c:ser>
          <c:idx val="4"/>
          <c:order val="4"/>
          <c:tx>
            <c:strRef>
              <c:f>'Monthly Budget'!$A$11</c:f>
              <c:strCache>
                <c:ptCount val="1"/>
                <c:pt idx="0">
                  <c:v>Candy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tint val="94000"/>
                    <a:satMod val="103000"/>
                    <a:lumMod val="102000"/>
                  </a:schemeClr>
                </a:gs>
                <a:gs pos="50000">
                  <a:schemeClr val="accent5">
                    <a:shade val="100000"/>
                    <a:satMod val="110000"/>
                    <a:lumMod val="100000"/>
                  </a:schemeClr>
                </a:gs>
                <a:gs pos="100000">
                  <a:schemeClr val="accent5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'Monthly Budget'!$B$6:$D$6</c:f>
              <c:numCache>
                <c:formatCode>mmm/yyyy</c:formatCode>
                <c:ptCount val="3"/>
                <c:pt idx="0">
                  <c:v>42370</c:v>
                </c:pt>
                <c:pt idx="1">
                  <c:v>42401</c:v>
                </c:pt>
                <c:pt idx="2">
                  <c:v>42430</c:v>
                </c:pt>
              </c:numCache>
            </c:numRef>
          </c:cat>
          <c:val>
            <c:numRef>
              <c:f>'Monthly Budget'!$B$11:$D$11</c:f>
              <c:numCache>
                <c:formatCode>_(* #,##0.00_);_(* \(#,##0.00\);_(* "-"??_);_(@_)</c:formatCode>
                <c:ptCount val="3"/>
                <c:pt idx="0">
                  <c:v>100.43</c:v>
                </c:pt>
                <c:pt idx="1">
                  <c:v>100.43</c:v>
                </c:pt>
                <c:pt idx="2">
                  <c:v>125.99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8C-4A8D-BBC3-343CCF7E38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0029327"/>
        <c:axId val="340024047"/>
        <c:extLst/>
      </c:barChart>
      <c:dateAx>
        <c:axId val="340029327"/>
        <c:scaling>
          <c:orientation val="minMax"/>
        </c:scaling>
        <c:delete val="0"/>
        <c:axPos val="b"/>
        <c:numFmt formatCode="mmm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24047"/>
        <c:crosses val="autoZero"/>
        <c:auto val="1"/>
        <c:lblOffset val="100"/>
        <c:baseTimeUnit val="months"/>
      </c:dateAx>
      <c:valAx>
        <c:axId val="34002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02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1" l="1" r="1" t="1" header="0.5" footer="0.5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3D4B853-E439-4941-8BC6-73E30E121184}">
  <sheetPr/>
  <sheetViews>
    <sheetView zoomScale="152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594360</xdr:colOff>
      <xdr:row>27</xdr:row>
      <xdr:rowOff>0</xdr:rowOff>
    </xdr:from>
    <xdr:to>
      <xdr:col>6</xdr:col>
      <xdr:colOff>160020</xdr:colOff>
      <xdr:row>52</xdr:row>
      <xdr:rowOff>63500</xdr:rowOff>
    </xdr:to>
    <xdr:pic>
      <xdr:nvPicPr>
        <xdr:cNvPr id="4" name="Picture 3" descr="Close-up of wine tasting">
          <a:extLst>
            <a:ext uri="{FF2B5EF4-FFF2-40B4-BE49-F238E27FC236}">
              <a16:creationId xmlns:a16="http://schemas.microsoft.com/office/drawing/2014/main" id="{23CCE79D-3694-B044-310F-27253487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" y="6286500"/>
          <a:ext cx="6713220" cy="4445000"/>
        </a:xfrm>
        <a:prstGeom prst="rect">
          <a:avLst/>
        </a:prstGeom>
      </xdr:spPr>
    </xdr:pic>
    <xdr:clientData/>
  </xdr:twoCellAnchor>
  <xdr:twoCellAnchor>
    <xdr:from>
      <xdr:col>4</xdr:col>
      <xdr:colOff>1059180</xdr:colOff>
      <xdr:row>7</xdr:row>
      <xdr:rowOff>83820</xdr:rowOff>
    </xdr:from>
    <xdr:to>
      <xdr:col>5</xdr:col>
      <xdr:colOff>388620</xdr:colOff>
      <xdr:row>11</xdr:row>
      <xdr:rowOff>68580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D0C62B9-129B-2548-B7A7-598751C28C65}"/>
            </a:ext>
          </a:extLst>
        </xdr:cNvPr>
        <xdr:cNvCxnSpPr/>
      </xdr:nvCxnSpPr>
      <xdr:spPr>
        <a:xfrm flipH="1">
          <a:off x="7719060" y="2247900"/>
          <a:ext cx="411480" cy="929640"/>
        </a:xfrm>
        <a:prstGeom prst="straightConnector1">
          <a:avLst/>
        </a:prstGeom>
        <a:ln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411480</xdr:colOff>
      <xdr:row>17</xdr:row>
      <xdr:rowOff>144780</xdr:rowOff>
    </xdr:from>
    <xdr:to>
      <xdr:col>1</xdr:col>
      <xdr:colOff>708660</xdr:colOff>
      <xdr:row>18</xdr:row>
      <xdr:rowOff>160020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1E958A8A-3D6F-0824-F6D4-9BC5DD4C5FAE}"/>
            </a:ext>
          </a:extLst>
        </xdr:cNvPr>
        <xdr:cNvCxnSpPr/>
      </xdr:nvCxnSpPr>
      <xdr:spPr>
        <a:xfrm>
          <a:off x="3139440" y="4518660"/>
          <a:ext cx="297180" cy="24384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121920</xdr:colOff>
      <xdr:row>5</xdr:row>
      <xdr:rowOff>327660</xdr:rowOff>
    </xdr:from>
    <xdr:to>
      <xdr:col>6</xdr:col>
      <xdr:colOff>0</xdr:colOff>
      <xdr:row>7</xdr:row>
      <xdr:rowOff>15240</xdr:rowOff>
    </xdr:to>
    <xdr:sp macro="" textlink="">
      <xdr:nvSpPr>
        <xdr:cNvPr id="14" name="Arrow: Right 13">
          <a:extLst>
            <a:ext uri="{FF2B5EF4-FFF2-40B4-BE49-F238E27FC236}">
              <a16:creationId xmlns:a16="http://schemas.microsoft.com/office/drawing/2014/main" id="{2EAA4D54-BC03-5273-E3C8-D17B98943DEF}"/>
            </a:ext>
          </a:extLst>
        </xdr:cNvPr>
        <xdr:cNvSpPr/>
      </xdr:nvSpPr>
      <xdr:spPr>
        <a:xfrm>
          <a:off x="7863840" y="1889760"/>
          <a:ext cx="487680" cy="2895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C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5922" cy="62802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8AC68-A6A4-982C-4C86-F15CE93489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5278100" cy="999744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7AAE67-6B9D-46C5-9DC3-6E9570E81EB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Arial-Times New Roman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Times New Roman" panose="02020603050405020304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EB59E-42F7-4C99-B5C5-D54776FBDFB8}">
  <dimension ref="A3:N23"/>
  <sheetViews>
    <sheetView tabSelected="1" workbookViewId="0">
      <selection activeCell="F20" sqref="F20"/>
    </sheetView>
  </sheetViews>
  <sheetFormatPr defaultRowHeight="13.8" x14ac:dyDescent="0.25"/>
  <cols>
    <col min="1" max="1" width="10.88671875" customWidth="1"/>
    <col min="2" max="2" width="16" bestFit="1" customWidth="1"/>
    <col min="3" max="3" width="20" customWidth="1"/>
    <col min="4" max="6" width="19.109375" customWidth="1"/>
    <col min="7" max="7" width="15.77734375" customWidth="1"/>
    <col min="9" max="9" width="9.6640625" bestFit="1" customWidth="1"/>
  </cols>
  <sheetData>
    <row r="3" spans="1:7" ht="14.4" thickBot="1" x14ac:dyDescent="0.3"/>
    <row r="4" spans="1:7" ht="69.599999999999994" thickBot="1" x14ac:dyDescent="1.4">
      <c r="A4" s="16" t="s">
        <v>13</v>
      </c>
      <c r="B4" s="17"/>
      <c r="C4" s="17"/>
      <c r="D4" s="17"/>
      <c r="E4" s="17"/>
      <c r="F4" s="17"/>
      <c r="G4" s="18"/>
    </row>
    <row r="5" spans="1:7" ht="11.4" customHeight="1" thickBot="1" x14ac:dyDescent="0.3"/>
    <row r="6" spans="1:7" ht="28.8" customHeight="1" thickBot="1" x14ac:dyDescent="0.45">
      <c r="A6" s="19" t="s">
        <v>12</v>
      </c>
      <c r="B6" s="20">
        <v>42370</v>
      </c>
      <c r="C6" s="20">
        <v>42401</v>
      </c>
      <c r="D6" s="20">
        <v>42430</v>
      </c>
      <c r="E6" s="19" t="s">
        <v>6</v>
      </c>
      <c r="G6" s="21" t="s">
        <v>11</v>
      </c>
    </row>
    <row r="7" spans="1:7" ht="18.600000000000001" thickBot="1" x14ac:dyDescent="0.4">
      <c r="A7" s="3" t="s">
        <v>0</v>
      </c>
      <c r="B7" s="6">
        <v>1000.55</v>
      </c>
      <c r="C7" s="6">
        <v>750.56</v>
      </c>
      <c r="D7" s="10">
        <v>1000.55</v>
      </c>
      <c r="E7" s="9">
        <f>SUM(B7:D7)</f>
        <v>2751.66</v>
      </c>
      <c r="G7" s="14">
        <f>E7/$E$12</f>
        <v>0.56669007572590391</v>
      </c>
    </row>
    <row r="8" spans="1:7" ht="18.600000000000001" thickBot="1" x14ac:dyDescent="0.4">
      <c r="A8" s="4" t="s">
        <v>1</v>
      </c>
      <c r="B8" s="11">
        <v>100.25</v>
      </c>
      <c r="C8" s="11">
        <v>125.56</v>
      </c>
      <c r="D8" s="12">
        <v>100</v>
      </c>
      <c r="E8" s="8">
        <f t="shared" ref="E8:E12" si="0">SUM(B8:D8)</f>
        <v>325.81</v>
      </c>
      <c r="G8" s="14">
        <f>E8/$E$12</f>
        <v>6.7098876159211812E-2</v>
      </c>
    </row>
    <row r="9" spans="1:7" ht="18.600000000000001" thickBot="1" x14ac:dyDescent="0.4">
      <c r="A9" s="4" t="s">
        <v>2</v>
      </c>
      <c r="B9" s="11">
        <v>150</v>
      </c>
      <c r="C9" s="11">
        <v>200.43</v>
      </c>
      <c r="D9" s="12">
        <v>175.23</v>
      </c>
      <c r="E9" s="8">
        <f t="shared" si="0"/>
        <v>525.66</v>
      </c>
      <c r="G9" s="14">
        <f>E9/$E$12</f>
        <v>0.10825694497360816</v>
      </c>
    </row>
    <row r="10" spans="1:7" ht="18.600000000000001" thickBot="1" x14ac:dyDescent="0.4">
      <c r="A10" s="4" t="s">
        <v>3</v>
      </c>
      <c r="B10" s="11">
        <v>300.14999999999998</v>
      </c>
      <c r="C10" s="11">
        <v>275.43</v>
      </c>
      <c r="D10" s="12">
        <v>350.11</v>
      </c>
      <c r="E10" s="8">
        <f t="shared" si="0"/>
        <v>925.68999999999994</v>
      </c>
      <c r="G10" s="14">
        <f>E10/$E$12</f>
        <v>0.1906410443872833</v>
      </c>
    </row>
    <row r="11" spans="1:7" ht="18.600000000000001" thickBot="1" x14ac:dyDescent="0.4">
      <c r="A11" s="4" t="s">
        <v>4</v>
      </c>
      <c r="B11" s="11">
        <v>100.43</v>
      </c>
      <c r="C11" s="11">
        <v>100.43</v>
      </c>
      <c r="D11" s="12">
        <v>125.99</v>
      </c>
      <c r="E11" s="8">
        <f t="shared" si="0"/>
        <v>326.85000000000002</v>
      </c>
      <c r="G11" s="14">
        <f>E11/$E$12</f>
        <v>6.7313058753992752E-2</v>
      </c>
    </row>
    <row r="12" spans="1:7" ht="18.600000000000001" thickBot="1" x14ac:dyDescent="0.4">
      <c r="A12" s="5" t="s">
        <v>5</v>
      </c>
      <c r="B12" s="6">
        <f>SUM(B7:B11)</f>
        <v>1651.3799999999999</v>
      </c>
      <c r="C12" s="6">
        <f t="shared" ref="C12:D12" si="1">SUM(C7:C11)</f>
        <v>1452.41</v>
      </c>
      <c r="D12" s="7">
        <f t="shared" si="1"/>
        <v>1751.8799999999999</v>
      </c>
      <c r="E12" s="8">
        <f t="shared" si="0"/>
        <v>4855.67</v>
      </c>
      <c r="G12" s="14">
        <f>E12/$E$12</f>
        <v>1</v>
      </c>
    </row>
    <row r="13" spans="1:7" ht="18" x14ac:dyDescent="0.35">
      <c r="A13" s="2"/>
      <c r="B13" s="6"/>
      <c r="C13" s="6"/>
      <c r="D13" s="6"/>
      <c r="E13" s="6"/>
    </row>
    <row r="14" spans="1:7" ht="17.399999999999999" customHeight="1" x14ac:dyDescent="0.35">
      <c r="A14" s="2"/>
      <c r="B14" s="2"/>
      <c r="C14" s="2"/>
      <c r="D14" s="2"/>
      <c r="E14" s="2"/>
    </row>
    <row r="17" spans="1:14" ht="18" x14ac:dyDescent="0.35">
      <c r="A17" s="13" t="s">
        <v>7</v>
      </c>
      <c r="B17" s="11">
        <f>MIN(B7:B11)</f>
        <v>100.25</v>
      </c>
      <c r="C17" s="11">
        <f>MIN(C7:C11)</f>
        <v>100.43</v>
      </c>
      <c r="D17" s="11">
        <f>MIN(D7:D11)</f>
        <v>100</v>
      </c>
      <c r="E17" s="11">
        <f>MIN(E7:E11)</f>
        <v>325.81</v>
      </c>
    </row>
    <row r="18" spans="1:14" ht="18" x14ac:dyDescent="0.35">
      <c r="A18" s="13" t="s">
        <v>8</v>
      </c>
      <c r="B18" s="11">
        <f>MAX(B7:B11)</f>
        <v>1000.55</v>
      </c>
      <c r="C18" s="11">
        <f>MAX(C7:C11)</f>
        <v>750.56</v>
      </c>
      <c r="D18" s="11">
        <f>MAX(D7:D11)</f>
        <v>1000.55</v>
      </c>
      <c r="E18" s="11">
        <f>MAX(E7:E11)</f>
        <v>2751.66</v>
      </c>
    </row>
    <row r="19" spans="1:14" ht="18" x14ac:dyDescent="0.35">
      <c r="A19" s="13" t="s">
        <v>9</v>
      </c>
      <c r="B19" s="11">
        <f>AVERAGE(B7:B11)</f>
        <v>330.27599999999995</v>
      </c>
      <c r="C19" s="11">
        <f>AVERAGE(C7:C11)</f>
        <v>290.48200000000003</v>
      </c>
      <c r="D19" s="11">
        <f>AVERAGE(D7:D11)</f>
        <v>350.37599999999998</v>
      </c>
      <c r="E19" s="11">
        <f>AVERAGE(E7:E11)</f>
        <v>971.13400000000001</v>
      </c>
    </row>
    <row r="20" spans="1:14" ht="18" x14ac:dyDescent="0.35">
      <c r="A20" s="13" t="s">
        <v>10</v>
      </c>
      <c r="B20" s="11">
        <f>COUNT(B7,B8,B9,B10,B11)</f>
        <v>5</v>
      </c>
      <c r="C20" s="11">
        <f>COUNT(C7,C8,C9,C10,C11)</f>
        <v>5</v>
      </c>
      <c r="D20" s="11">
        <f>COUNT(D7,D8,D9,D10,D11)</f>
        <v>5</v>
      </c>
      <c r="E20" s="11">
        <f>COUNT(E7,E8,E9,E10,E11)</f>
        <v>5</v>
      </c>
    </row>
    <row r="21" spans="1:14" x14ac:dyDescent="0.25">
      <c r="N21" s="1"/>
    </row>
    <row r="23" spans="1:14" x14ac:dyDescent="0.25">
      <c r="D23" s="15"/>
      <c r="E23" s="15"/>
      <c r="F23" s="15"/>
    </row>
  </sheetData>
  <phoneticPr fontId="7" type="noConversion"/>
  <conditionalFormatting sqref="F25">
    <cfRule type="cellIs" dxfId="0" priority="1" operator="greaterThan">
      <formula>200</formula>
    </cfRule>
  </conditionalFormatting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BADE-FDBA-4F8E-9832-A16226EFF885}">
  <dimension ref="A1"/>
  <sheetViews>
    <sheetView topLeftCell="A7" workbookViewId="0"/>
  </sheetViews>
  <sheetFormatPr defaultRowHeight="13.8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Monthly Budget</vt:lpstr>
      <vt:lpstr>Sheet1</vt:lpstr>
      <vt:lpstr>Food vs Candy (2)</vt:lpstr>
      <vt:lpstr>'Monthly Budget'!Print_Area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Patricio</dc:creator>
  <cp:lastModifiedBy>Myles Patricio</cp:lastModifiedBy>
  <cp:lastPrinted>2026-01-28T18:22:44Z</cp:lastPrinted>
  <dcterms:created xsi:type="dcterms:W3CDTF">2026-01-26T06:30:01Z</dcterms:created>
  <dcterms:modified xsi:type="dcterms:W3CDTF">2026-01-28T18:35:45Z</dcterms:modified>
</cp:coreProperties>
</file>